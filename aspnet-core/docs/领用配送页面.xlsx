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MLS\"/>
    </mc:Choice>
  </mc:AlternateContent>
  <xr:revisionPtr revIDLastSave="0" documentId="13_ncr:1_{DB806CA2-B04A-479A-BD0B-993A7815E139}" xr6:coauthVersionLast="36" xr6:coauthVersionMax="36" xr10:uidLastSave="{00000000-0000-0000-0000-000000000000}"/>
  <bookViews>
    <workbookView xWindow="0" yWindow="0" windowWidth="23040" windowHeight="7815" xr2:uid="{F27D0604-A8EE-4FFC-9102-3E82946E4FA9}"/>
  </bookViews>
  <sheets>
    <sheet name="领料单" sheetId="1" r:id="rId1"/>
    <sheet name="配送需求试算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2" l="1"/>
  <c r="M32" i="2"/>
  <c r="M30" i="2"/>
</calcChain>
</file>

<file path=xl/sharedStrings.xml><?xml version="1.0" encoding="utf-8"?>
<sst xmlns="http://schemas.openxmlformats.org/spreadsheetml/2006/main" count="220" uniqueCount="92">
  <si>
    <t>领料申请单号</t>
    <phoneticPr fontId="1" type="noConversion"/>
  </si>
  <si>
    <t>领料单查询</t>
    <phoneticPr fontId="1" type="noConversion"/>
  </si>
  <si>
    <t>重置</t>
    <phoneticPr fontId="1" type="noConversion"/>
  </si>
  <si>
    <t>查询</t>
    <phoneticPr fontId="1" type="noConversion"/>
  </si>
  <si>
    <t>领料单列表</t>
    <phoneticPr fontId="1" type="noConversion"/>
  </si>
  <si>
    <t>行项目</t>
    <phoneticPr fontId="1" type="noConversion"/>
  </si>
  <si>
    <t>工厂</t>
    <phoneticPr fontId="1" type="noConversion"/>
  </si>
  <si>
    <t>物料</t>
    <phoneticPr fontId="1" type="noConversion"/>
  </si>
  <si>
    <t>描述</t>
    <phoneticPr fontId="1" type="noConversion"/>
  </si>
  <si>
    <t>申请数量</t>
    <phoneticPr fontId="1" type="noConversion"/>
  </si>
  <si>
    <t>基本单位</t>
    <phoneticPr fontId="1" type="noConversion"/>
  </si>
  <si>
    <t>批次</t>
    <phoneticPr fontId="1" type="noConversion"/>
  </si>
  <si>
    <t>认证种类</t>
    <phoneticPr fontId="1" type="noConversion"/>
  </si>
  <si>
    <t>收货库存地点</t>
    <phoneticPr fontId="1" type="noConversion"/>
  </si>
  <si>
    <t>发货方式</t>
    <phoneticPr fontId="1" type="noConversion"/>
  </si>
  <si>
    <t>配送日期</t>
    <phoneticPr fontId="1" type="noConversion"/>
  </si>
  <si>
    <t>申请人员工号</t>
    <phoneticPr fontId="1" type="noConversion"/>
  </si>
  <si>
    <t>申请人电话</t>
    <phoneticPr fontId="1" type="noConversion"/>
  </si>
  <si>
    <t>备注</t>
    <phoneticPr fontId="1" type="noConversion"/>
  </si>
  <si>
    <t>LNG天然气 热值≥9200Kcal/NM3</t>
    <phoneticPr fontId="1" type="noConversion"/>
  </si>
  <si>
    <t>木片 桉木 中国 广西</t>
    <phoneticPr fontId="1" type="noConversion"/>
  </si>
  <si>
    <t>木片 桉木 中国 海南</t>
    <phoneticPr fontId="1" type="noConversion"/>
  </si>
  <si>
    <t>TO</t>
    <phoneticPr fontId="1" type="noConversion"/>
  </si>
  <si>
    <t>创建日期</t>
    <phoneticPr fontId="1" type="noConversion"/>
  </si>
  <si>
    <t>操作</t>
    <phoneticPr fontId="1" type="noConversion"/>
  </si>
  <si>
    <t>多次发货</t>
    <phoneticPr fontId="1" type="noConversion"/>
  </si>
  <si>
    <t>拆解配送需求</t>
    <phoneticPr fontId="1" type="noConversion"/>
  </si>
  <si>
    <t>BOG蒸发气 热值≥8800Kcal/NM3</t>
  </si>
  <si>
    <t>BOG蒸发气 热值≥8800Kcal/NM3</t>
    <phoneticPr fontId="1" type="noConversion"/>
  </si>
  <si>
    <t>NM3</t>
    <phoneticPr fontId="1" type="noConversion"/>
  </si>
  <si>
    <t>单次发货</t>
    <phoneticPr fontId="1" type="noConversion"/>
  </si>
  <si>
    <t>自行领料</t>
    <phoneticPr fontId="1" type="noConversion"/>
  </si>
  <si>
    <t>查看配送需求</t>
    <phoneticPr fontId="1" type="noConversion"/>
  </si>
  <si>
    <t>2026.05.07</t>
    <phoneticPr fontId="1" type="noConversion"/>
  </si>
  <si>
    <t>2026.05.08</t>
  </si>
  <si>
    <t>2026.05.09</t>
  </si>
  <si>
    <t>领料单</t>
    <phoneticPr fontId="1" type="noConversion"/>
  </si>
  <si>
    <t>拆解配送需求-弹窗</t>
    <phoneticPr fontId="1" type="noConversion"/>
  </si>
  <si>
    <t>领料单信息</t>
    <phoneticPr fontId="1" type="noConversion"/>
  </si>
  <si>
    <t>已有拆解记录明细</t>
    <phoneticPr fontId="1" type="noConversion"/>
  </si>
  <si>
    <t>本次拆解填写</t>
    <phoneticPr fontId="1" type="noConversion"/>
  </si>
  <si>
    <t>待拆数量</t>
    <phoneticPr fontId="1" type="noConversion"/>
  </si>
  <si>
    <t>本次数量</t>
    <phoneticPr fontId="1" type="noConversion"/>
  </si>
  <si>
    <t>配送需求单号</t>
    <phoneticPr fontId="1" type="noConversion"/>
  </si>
  <si>
    <t>DELREQ-20260507-001</t>
    <phoneticPr fontId="1" type="noConversion"/>
  </si>
  <si>
    <t>DELREQ-20260507-002</t>
  </si>
  <si>
    <t>DELREQ-20260507-002</t>
    <phoneticPr fontId="1" type="noConversion"/>
  </si>
  <si>
    <t>状态</t>
    <phoneticPr fontId="1" type="noConversion"/>
  </si>
  <si>
    <t>草稿</t>
    <phoneticPr fontId="1" type="noConversion"/>
  </si>
  <si>
    <t>已确认</t>
    <phoneticPr fontId="1" type="noConversion"/>
  </si>
  <si>
    <r>
      <rPr>
        <sz val="11"/>
        <color rgb="FF0000FF"/>
        <rFont val="等线"/>
        <family val="3"/>
        <charset val="134"/>
        <scheme val="minor"/>
      </rPr>
      <t>修改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00FF"/>
        <rFont val="等线"/>
        <family val="3"/>
        <charset val="134"/>
        <scheme val="minor"/>
      </rPr>
      <t>确认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00FF"/>
        <rFont val="等线"/>
        <family val="3"/>
        <charset val="134"/>
        <scheme val="minor"/>
      </rPr>
      <t>撤销</t>
    </r>
    <phoneticPr fontId="1" type="noConversion"/>
  </si>
  <si>
    <t>DELREQ-20260507-003</t>
    <phoneticPr fontId="1" type="noConversion"/>
  </si>
  <si>
    <t>已取消</t>
    <phoneticPr fontId="1" type="noConversion"/>
  </si>
  <si>
    <t>保存草稿</t>
    <phoneticPr fontId="1" type="noConversion"/>
  </si>
  <si>
    <t>确认拆解</t>
    <phoneticPr fontId="1" type="noConversion"/>
  </si>
  <si>
    <t>取消</t>
    <phoneticPr fontId="1" type="noConversion"/>
  </si>
  <si>
    <t>配送时段</t>
    <phoneticPr fontId="1" type="noConversion"/>
  </si>
  <si>
    <t>最后配送日期</t>
    <phoneticPr fontId="1" type="noConversion"/>
  </si>
  <si>
    <t>上午/下午/晚上/全天</t>
    <phoneticPr fontId="1" type="noConversion"/>
  </si>
  <si>
    <t>系统自动生成</t>
    <phoneticPr fontId="1" type="noConversion"/>
  </si>
  <si>
    <t>配送需求试算</t>
    <phoneticPr fontId="1" type="noConversion"/>
  </si>
  <si>
    <t>上午</t>
    <phoneticPr fontId="1" type="noConversion"/>
  </si>
  <si>
    <t>2026.05.08</t>
    <phoneticPr fontId="1" type="noConversion"/>
  </si>
  <si>
    <t>2026.05.09</t>
    <phoneticPr fontId="1" type="noConversion"/>
  </si>
  <si>
    <t>下午</t>
    <phoneticPr fontId="1" type="noConversion"/>
  </si>
  <si>
    <t>全天</t>
    <phoneticPr fontId="1" type="noConversion"/>
  </si>
  <si>
    <t>配送需求试算查询</t>
    <phoneticPr fontId="1" type="noConversion"/>
  </si>
  <si>
    <t>配送需求列表</t>
    <phoneticPr fontId="1" type="noConversion"/>
  </si>
  <si>
    <t>执行试算</t>
    <phoneticPr fontId="1" type="noConversion"/>
  </si>
  <si>
    <t>数量</t>
    <phoneticPr fontId="1" type="noConversion"/>
  </si>
  <si>
    <t>领料单创建日期</t>
    <phoneticPr fontId="1" type="noConversion"/>
  </si>
  <si>
    <t>货源分配试算</t>
    <phoneticPr fontId="1" type="noConversion"/>
  </si>
  <si>
    <t>配送需求明细行</t>
    <phoneticPr fontId="1" type="noConversion"/>
  </si>
  <si>
    <t>可参与试算货源</t>
    <phoneticPr fontId="1" type="noConversion"/>
  </si>
  <si>
    <t>货源类型</t>
    <phoneticPr fontId="1" type="noConversion"/>
  </si>
  <si>
    <t>厂内资材库</t>
    <phoneticPr fontId="1" type="noConversion"/>
  </si>
  <si>
    <t>供应商送货</t>
    <phoneticPr fontId="1" type="noConversion"/>
  </si>
  <si>
    <t>码头仓库</t>
    <phoneticPr fontId="1" type="noConversion"/>
  </si>
  <si>
    <t>可供量</t>
    <phoneticPr fontId="1" type="noConversion"/>
  </si>
  <si>
    <t>货源分配结果</t>
    <phoneticPr fontId="1" type="noConversion"/>
  </si>
  <si>
    <t>系统建议</t>
    <phoneticPr fontId="1" type="noConversion"/>
  </si>
  <si>
    <t>确认数量</t>
    <phoneticPr fontId="1" type="noConversion"/>
  </si>
  <si>
    <t>校验</t>
    <phoneticPr fontId="1" type="noConversion"/>
  </si>
  <si>
    <t>满足</t>
    <phoneticPr fontId="1" type="noConversion"/>
  </si>
  <si>
    <t>未选</t>
    <phoneticPr fontId="1" type="noConversion"/>
  </si>
  <si>
    <t>重新试算</t>
    <phoneticPr fontId="1" type="noConversion"/>
  </si>
  <si>
    <t>确认货源</t>
    <phoneticPr fontId="1" type="noConversion"/>
  </si>
  <si>
    <t>创建日期</t>
    <phoneticPr fontId="1" type="noConversion"/>
  </si>
  <si>
    <t>作业成本</t>
    <phoneticPr fontId="1" type="noConversion"/>
  </si>
  <si>
    <t>逾期滞留费</t>
    <phoneticPr fontId="1" type="noConversion"/>
  </si>
  <si>
    <t>延滞成本</t>
    <phoneticPr fontId="1" type="noConversion"/>
  </si>
  <si>
    <t>总成本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</si>
</sst>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0000FF"/>
      <name val="等线"/>
      <family val="2"/>
      <charset val="134"/>
      <scheme val="minor"/>
    </font>
    <font>
      <sz val="11"/>
      <color rgb="FF0000FF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15803D"/>
      <name val="等线"/>
      <family val="3"/>
      <charset val="134"/>
      <scheme val="minor"/>
    </font>
    <font>
      <b/>
      <sz val="11"/>
      <color rgb="FFC2410C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3333FF"/>
      <name val="等线"/>
      <family val="3"/>
      <charset val="134"/>
      <scheme val="minor"/>
    </font>
    <font>
      <sz val="6"/>
      <color theme="1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>
      <alignment vertical="center"/>
    </xf>
    <xf numFmtId="0" fontId="0" fillId="4" borderId="1" xfId="0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6" borderId="0" xfId="0" applyFill="1">
      <alignment vertical="center"/>
    </xf>
    <xf numFmtId="0" fontId="1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33FF"/>
      <color rgb="FFC2410C"/>
      <color rgb="FF15803D"/>
      <color rgb="FF00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1661160</xdr:colOff>
      <xdr:row>12</xdr:row>
      <xdr:rowOff>68580</xdr:rowOff>
    </xdr:from>
    <xdr:to>
      <xdr:col>15</xdr:col>
      <xdr:colOff>68580</xdr:colOff>
      <xdr:row>21</xdr:row>
      <xdr:rowOff>114300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661160" y="2263140"/>
          <a:ext cx="14859000" cy="1623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10</xdr:row>
          <xdr:rowOff>38100</xdr:rowOff>
        </xdr:from>
        <xdr:to>
          <xdr:col>0</xdr:col>
          <xdr:colOff>571500</xdr:colOff>
          <xdr:row>12</xdr:row>
          <xdr:rowOff>171450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412F-4945-4BC1-8B90-A9C81B2491D5}">
  <sheetPr codeName="Sheet2"/>
  <dimension ref="A1:P46"/>
  <sheetViews>
    <sheetView tabSelected="1" workbookViewId="0">
      <selection activeCell="H26" sqref="H26"/>
    </sheetView>
  </sheetViews>
  <sheetFormatPr defaultRowHeight="14.25" x14ac:dyDescent="0.2"/>
  <cols>
    <col min="1" max="1" width="24.875" bestFit="1" customWidth="1"/>
    <col min="2" max="2" width="13.875" bestFit="1" customWidth="1"/>
    <col min="3" max="3" width="32.25" bestFit="1" customWidth="1"/>
    <col min="4" max="4" width="32.5" bestFit="1" customWidth="1"/>
    <col min="5" max="5" width="13.875" bestFit="1" customWidth="1"/>
    <col min="6" max="6" width="9.5" bestFit="1" customWidth="1"/>
    <col min="7" max="9" width="13.875" bestFit="1" customWidth="1"/>
    <col min="10" max="10" width="15.5" bestFit="1" customWidth="1"/>
    <col min="11" max="12" width="13.875" bestFit="1" customWidth="1"/>
    <col min="13" max="13" width="12.75" bestFit="1" customWidth="1"/>
    <col min="14" max="14" width="5.5" bestFit="1" customWidth="1"/>
    <col min="15" max="15" width="9.5" bestFit="1" customWidth="1"/>
    <col min="16" max="16" width="13.875" bestFit="1" customWidth="1"/>
  </cols>
  <sheetData>
    <row r="1" spans="1:16" ht="18" x14ac:dyDescent="0.2">
      <c r="A1" s="10" t="s">
        <v>36</v>
      </c>
    </row>
    <row r="3" spans="1:16" ht="15.75" x14ac:dyDescent="0.2">
      <c r="A3" s="4" t="s">
        <v>1</v>
      </c>
    </row>
    <row r="4" spans="1:16" x14ac:dyDescent="0.2">
      <c r="B4" t="s">
        <v>0</v>
      </c>
      <c r="C4" s="1">
        <v>1000000137</v>
      </c>
      <c r="E4" t="s">
        <v>6</v>
      </c>
      <c r="F4" s="1">
        <v>2000</v>
      </c>
    </row>
    <row r="5" spans="1:16" x14ac:dyDescent="0.2">
      <c r="C5" s="1"/>
      <c r="F5" s="9"/>
    </row>
    <row r="6" spans="1:16" x14ac:dyDescent="0.2">
      <c r="B6" t="s">
        <v>16</v>
      </c>
      <c r="C6" s="1">
        <v>50000068</v>
      </c>
      <c r="E6" t="s">
        <v>87</v>
      </c>
      <c r="F6" s="1"/>
      <c r="K6" s="5" t="s">
        <v>2</v>
      </c>
      <c r="L6" s="3" t="s">
        <v>3</v>
      </c>
    </row>
    <row r="9" spans="1:16" ht="15.75" x14ac:dyDescent="0.2">
      <c r="A9" s="4" t="s">
        <v>4</v>
      </c>
    </row>
    <row r="11" spans="1:16" x14ac:dyDescent="0.2">
      <c r="A11" s="2" t="s">
        <v>0</v>
      </c>
      <c r="B11" s="2" t="s">
        <v>5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23</v>
      </c>
      <c r="K11" s="2" t="s">
        <v>15</v>
      </c>
      <c r="L11" s="2" t="s">
        <v>16</v>
      </c>
      <c r="M11" s="2" t="s">
        <v>17</v>
      </c>
      <c r="N11" s="2" t="s">
        <v>18</v>
      </c>
      <c r="O11" s="2" t="s">
        <v>14</v>
      </c>
      <c r="P11" s="2" t="s">
        <v>24</v>
      </c>
    </row>
    <row r="12" spans="1:16" s="6" customFormat="1" x14ac:dyDescent="0.2">
      <c r="A12" s="6">
        <v>1000000137</v>
      </c>
      <c r="B12" s="6">
        <v>1</v>
      </c>
      <c r="C12" s="6">
        <v>1100000021</v>
      </c>
      <c r="D12" s="6" t="s">
        <v>19</v>
      </c>
      <c r="E12" s="6">
        <v>100</v>
      </c>
      <c r="F12" s="6" t="s">
        <v>22</v>
      </c>
      <c r="I12" s="6">
        <v>3108</v>
      </c>
      <c r="J12" s="6" t="s">
        <v>33</v>
      </c>
      <c r="L12" s="6">
        <v>50000068</v>
      </c>
      <c r="M12" s="6">
        <v>13612345678</v>
      </c>
      <c r="O12" s="6" t="s">
        <v>25</v>
      </c>
      <c r="P12" s="22" t="s">
        <v>26</v>
      </c>
    </row>
    <row r="13" spans="1:16" s="6" customFormat="1" x14ac:dyDescent="0.2">
      <c r="A13" s="6">
        <v>1000000137</v>
      </c>
      <c r="B13" s="6">
        <v>2</v>
      </c>
      <c r="C13" s="6">
        <v>20000002</v>
      </c>
      <c r="D13" s="6" t="s">
        <v>20</v>
      </c>
      <c r="E13" s="6">
        <v>45</v>
      </c>
      <c r="F13" s="6" t="s">
        <v>22</v>
      </c>
      <c r="I13" s="6">
        <v>3104</v>
      </c>
      <c r="J13" s="6" t="s">
        <v>33</v>
      </c>
      <c r="L13" s="6">
        <v>50000068</v>
      </c>
      <c r="M13" s="6">
        <v>13612345678</v>
      </c>
      <c r="O13" s="6" t="s">
        <v>25</v>
      </c>
      <c r="P13" s="23"/>
    </row>
    <row r="14" spans="1:16" s="6" customFormat="1" x14ac:dyDescent="0.2">
      <c r="A14" s="6">
        <v>1000000137</v>
      </c>
      <c r="B14" s="6">
        <v>3</v>
      </c>
      <c r="C14" s="6">
        <v>20000003</v>
      </c>
      <c r="D14" s="6" t="s">
        <v>21</v>
      </c>
      <c r="E14" s="6">
        <v>23</v>
      </c>
      <c r="F14" s="6" t="s">
        <v>22</v>
      </c>
      <c r="I14" s="6">
        <v>3104</v>
      </c>
      <c r="J14" s="6" t="s">
        <v>33</v>
      </c>
      <c r="L14" s="6">
        <v>50000068</v>
      </c>
      <c r="M14" s="6">
        <v>13612345678</v>
      </c>
      <c r="O14" s="6" t="s">
        <v>25</v>
      </c>
      <c r="P14" s="23"/>
    </row>
    <row r="15" spans="1:16" s="7" customFormat="1" x14ac:dyDescent="0.2">
      <c r="A15" s="7">
        <v>1000000136</v>
      </c>
      <c r="B15" s="7">
        <v>1</v>
      </c>
      <c r="C15" s="7">
        <v>1100000022</v>
      </c>
      <c r="D15" s="7" t="s">
        <v>28</v>
      </c>
      <c r="E15" s="7">
        <v>20</v>
      </c>
      <c r="F15" s="7" t="s">
        <v>29</v>
      </c>
      <c r="I15" s="7">
        <v>3108</v>
      </c>
      <c r="J15" s="6" t="s">
        <v>34</v>
      </c>
      <c r="L15" s="7">
        <v>50000067</v>
      </c>
      <c r="M15" s="7">
        <v>13612345679</v>
      </c>
      <c r="O15" s="7" t="s">
        <v>30</v>
      </c>
      <c r="P15" s="8" t="s">
        <v>32</v>
      </c>
    </row>
    <row r="16" spans="1:16" s="16" customFormat="1" x14ac:dyDescent="0.2">
      <c r="A16" s="16">
        <v>1000000140</v>
      </c>
      <c r="B16" s="16">
        <v>1</v>
      </c>
      <c r="C16" s="16">
        <v>1100000022</v>
      </c>
      <c r="D16" s="16" t="s">
        <v>27</v>
      </c>
      <c r="E16" s="16">
        <v>19.2</v>
      </c>
      <c r="F16" s="16" t="s">
        <v>29</v>
      </c>
      <c r="I16" s="16">
        <v>3108</v>
      </c>
      <c r="J16" s="16" t="s">
        <v>35</v>
      </c>
      <c r="L16" s="16">
        <v>50000067</v>
      </c>
      <c r="M16" s="16">
        <v>13612345679</v>
      </c>
      <c r="O16" s="16" t="s">
        <v>31</v>
      </c>
    </row>
    <row r="22" spans="1:11" ht="18" x14ac:dyDescent="0.2">
      <c r="A22" s="10" t="s">
        <v>37</v>
      </c>
    </row>
    <row r="24" spans="1:11" ht="15.75" x14ac:dyDescent="0.2">
      <c r="A24" s="4" t="s">
        <v>38</v>
      </c>
    </row>
    <row r="25" spans="1:11" x14ac:dyDescent="0.2">
      <c r="B25" t="s">
        <v>0</v>
      </c>
      <c r="C25" s="11">
        <v>1000000137</v>
      </c>
      <c r="E25" t="s">
        <v>6</v>
      </c>
      <c r="F25" s="11">
        <v>2000</v>
      </c>
    </row>
    <row r="27" spans="1:11" x14ac:dyDescent="0.2">
      <c r="B27" t="s">
        <v>16</v>
      </c>
      <c r="C27" s="11">
        <v>50000068</v>
      </c>
    </row>
    <row r="30" spans="1:11" ht="15.75" x14ac:dyDescent="0.2">
      <c r="A30" s="4" t="s">
        <v>39</v>
      </c>
    </row>
    <row r="31" spans="1:11" x14ac:dyDescent="0.2">
      <c r="A31" s="2" t="s">
        <v>43</v>
      </c>
      <c r="B31" s="2" t="s">
        <v>5</v>
      </c>
      <c r="C31" s="2" t="s">
        <v>7</v>
      </c>
      <c r="D31" s="2" t="s">
        <v>8</v>
      </c>
      <c r="E31" s="2" t="s">
        <v>42</v>
      </c>
      <c r="F31" s="2" t="s">
        <v>13</v>
      </c>
      <c r="G31" s="2" t="s">
        <v>56</v>
      </c>
      <c r="H31" s="2" t="s">
        <v>15</v>
      </c>
      <c r="I31" s="2" t="s">
        <v>57</v>
      </c>
      <c r="J31" s="2" t="s">
        <v>47</v>
      </c>
      <c r="K31" s="2" t="s">
        <v>24</v>
      </c>
    </row>
    <row r="32" spans="1:11" x14ac:dyDescent="0.2">
      <c r="A32" t="s">
        <v>44</v>
      </c>
      <c r="B32">
        <v>1</v>
      </c>
      <c r="C32">
        <v>1100000021</v>
      </c>
      <c r="D32" t="s">
        <v>19</v>
      </c>
      <c r="E32">
        <v>30</v>
      </c>
      <c r="F32">
        <v>3108</v>
      </c>
      <c r="G32" t="s">
        <v>64</v>
      </c>
      <c r="H32" t="s">
        <v>33</v>
      </c>
      <c r="I32" t="s">
        <v>62</v>
      </c>
      <c r="J32" s="14" t="s">
        <v>48</v>
      </c>
      <c r="K32" s="12" t="s">
        <v>50</v>
      </c>
    </row>
    <row r="33" spans="1:11" x14ac:dyDescent="0.2">
      <c r="A33" t="s">
        <v>44</v>
      </c>
      <c r="B33">
        <v>2</v>
      </c>
      <c r="C33">
        <v>20000002</v>
      </c>
      <c r="D33" t="s">
        <v>20</v>
      </c>
      <c r="E33">
        <v>20</v>
      </c>
      <c r="F33">
        <v>3104</v>
      </c>
      <c r="G33" t="s">
        <v>64</v>
      </c>
      <c r="H33" t="s">
        <v>33</v>
      </c>
      <c r="I33" t="s">
        <v>62</v>
      </c>
      <c r="J33" s="14" t="s">
        <v>48</v>
      </c>
      <c r="K33" s="12" t="s">
        <v>50</v>
      </c>
    </row>
    <row r="34" spans="1:11" x14ac:dyDescent="0.2">
      <c r="A34" t="s">
        <v>46</v>
      </c>
      <c r="B34">
        <v>1</v>
      </c>
      <c r="C34">
        <v>1100000021</v>
      </c>
      <c r="D34" t="s">
        <v>19</v>
      </c>
      <c r="E34">
        <v>20</v>
      </c>
      <c r="F34">
        <v>3108</v>
      </c>
      <c r="G34" t="s">
        <v>61</v>
      </c>
      <c r="H34" t="s">
        <v>62</v>
      </c>
      <c r="I34" t="s">
        <v>63</v>
      </c>
      <c r="J34" s="13" t="s">
        <v>49</v>
      </c>
    </row>
    <row r="35" spans="1:11" x14ac:dyDescent="0.2">
      <c r="A35" t="s">
        <v>46</v>
      </c>
      <c r="B35">
        <v>2</v>
      </c>
      <c r="C35">
        <v>20000002</v>
      </c>
      <c r="D35" t="s">
        <v>20</v>
      </c>
      <c r="E35">
        <v>20</v>
      </c>
      <c r="F35">
        <v>3104</v>
      </c>
      <c r="G35" t="s">
        <v>61</v>
      </c>
      <c r="H35" t="s">
        <v>62</v>
      </c>
      <c r="I35" t="s">
        <v>63</v>
      </c>
      <c r="J35" s="13" t="s">
        <v>49</v>
      </c>
    </row>
    <row r="36" spans="1:11" x14ac:dyDescent="0.2">
      <c r="A36" t="s">
        <v>46</v>
      </c>
      <c r="B36">
        <v>3</v>
      </c>
      <c r="C36">
        <v>20000003</v>
      </c>
      <c r="D36" t="s">
        <v>21</v>
      </c>
      <c r="E36">
        <v>20</v>
      </c>
      <c r="F36">
        <v>3104</v>
      </c>
      <c r="G36" t="s">
        <v>61</v>
      </c>
      <c r="H36" t="s">
        <v>62</v>
      </c>
      <c r="I36" t="s">
        <v>63</v>
      </c>
      <c r="J36" s="13" t="s">
        <v>49</v>
      </c>
    </row>
    <row r="37" spans="1:11" x14ac:dyDescent="0.2">
      <c r="A37" t="s">
        <v>51</v>
      </c>
      <c r="B37">
        <v>3</v>
      </c>
      <c r="C37">
        <v>20000003</v>
      </c>
      <c r="D37" t="s">
        <v>21</v>
      </c>
      <c r="E37">
        <v>10</v>
      </c>
      <c r="F37">
        <v>3104</v>
      </c>
      <c r="G37" t="s">
        <v>65</v>
      </c>
      <c r="H37" t="s">
        <v>33</v>
      </c>
      <c r="I37" t="s">
        <v>62</v>
      </c>
      <c r="J37" s="15" t="s">
        <v>52</v>
      </c>
    </row>
    <row r="39" spans="1:11" ht="15.75" x14ac:dyDescent="0.2">
      <c r="A39" s="4" t="s">
        <v>40</v>
      </c>
    </row>
    <row r="40" spans="1:11" x14ac:dyDescent="0.2">
      <c r="A40" s="2" t="s">
        <v>5</v>
      </c>
      <c r="B40" s="2" t="s">
        <v>7</v>
      </c>
      <c r="C40" s="2" t="s">
        <v>8</v>
      </c>
      <c r="D40" s="2" t="s">
        <v>9</v>
      </c>
      <c r="E40" s="2" t="s">
        <v>41</v>
      </c>
      <c r="F40" s="2" t="s">
        <v>42</v>
      </c>
      <c r="G40" s="2" t="s">
        <v>13</v>
      </c>
      <c r="H40" s="2" t="s">
        <v>56</v>
      </c>
      <c r="I40" s="2" t="s">
        <v>15</v>
      </c>
      <c r="J40" s="2" t="s">
        <v>57</v>
      </c>
      <c r="K40" s="2" t="s">
        <v>43</v>
      </c>
    </row>
    <row r="41" spans="1:11" x14ac:dyDescent="0.2">
      <c r="A41">
        <v>1</v>
      </c>
      <c r="B41">
        <v>1100000021</v>
      </c>
      <c r="C41" t="s">
        <v>19</v>
      </c>
      <c r="D41">
        <v>100</v>
      </c>
      <c r="E41">
        <v>80</v>
      </c>
      <c r="F41" s="1"/>
      <c r="G41" s="1"/>
      <c r="H41" s="20" t="s">
        <v>58</v>
      </c>
      <c r="I41" s="1"/>
      <c r="J41" s="1"/>
      <c r="K41" s="20" t="s">
        <v>59</v>
      </c>
    </row>
    <row r="42" spans="1:11" x14ac:dyDescent="0.2">
      <c r="A42">
        <v>2</v>
      </c>
      <c r="B42">
        <v>20000002</v>
      </c>
      <c r="C42" t="s">
        <v>20</v>
      </c>
      <c r="D42">
        <v>45</v>
      </c>
      <c r="E42">
        <v>25</v>
      </c>
      <c r="F42" s="1"/>
      <c r="G42" s="1"/>
      <c r="H42" s="20" t="s">
        <v>58</v>
      </c>
      <c r="I42" s="1"/>
      <c r="J42" s="1"/>
      <c r="K42" s="20" t="s">
        <v>59</v>
      </c>
    </row>
    <row r="43" spans="1:11" x14ac:dyDescent="0.2">
      <c r="A43">
        <v>3</v>
      </c>
      <c r="B43">
        <v>20000003</v>
      </c>
      <c r="C43" t="s">
        <v>21</v>
      </c>
      <c r="D43">
        <v>23</v>
      </c>
      <c r="E43">
        <v>3</v>
      </c>
      <c r="F43" s="1"/>
      <c r="G43" s="1"/>
      <c r="H43" s="20" t="s">
        <v>58</v>
      </c>
      <c r="I43" s="1"/>
      <c r="J43" s="1"/>
      <c r="K43" s="19" t="s">
        <v>59</v>
      </c>
    </row>
    <row r="46" spans="1:11" x14ac:dyDescent="0.2">
      <c r="C46" s="18" t="s">
        <v>55</v>
      </c>
      <c r="D46" s="17" t="s">
        <v>53</v>
      </c>
      <c r="E46" s="3" t="s">
        <v>54</v>
      </c>
    </row>
  </sheetData>
  <mergeCells count="1">
    <mergeCell ref="P12:P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001F-0A5F-4455-8B36-EEE022F2B9CB}">
  <sheetPr codeName="Sheet1"/>
  <dimension ref="A1:R32"/>
  <sheetViews>
    <sheetView topLeftCell="A8" zoomScaleNormal="100" workbookViewId="0">
      <selection activeCell="D12" sqref="D12"/>
    </sheetView>
  </sheetViews>
  <sheetFormatPr defaultRowHeight="14.25" x14ac:dyDescent="0.2"/>
  <cols>
    <col min="1" max="1" width="22.5" bestFit="1" customWidth="1"/>
    <col min="2" max="2" width="13.875" bestFit="1" customWidth="1"/>
    <col min="3" max="3" width="11.625" bestFit="1" customWidth="1"/>
    <col min="4" max="5" width="32.25" bestFit="1" customWidth="1"/>
    <col min="6" max="8" width="9.5" bestFit="1" customWidth="1"/>
    <col min="9" max="9" width="15.375" bestFit="1" customWidth="1"/>
    <col min="10" max="10" width="16.125" bestFit="1" customWidth="1"/>
    <col min="11" max="11" width="22.5" bestFit="1" customWidth="1"/>
    <col min="12" max="12" width="10.5" bestFit="1" customWidth="1"/>
    <col min="13" max="13" width="9.5" bestFit="1" customWidth="1"/>
    <col min="14" max="15" width="13.875" bestFit="1" customWidth="1"/>
    <col min="16" max="16" width="12.75" bestFit="1" customWidth="1"/>
    <col min="17" max="17" width="5.5" bestFit="1" customWidth="1"/>
    <col min="18" max="18" width="9.5" bestFit="1" customWidth="1"/>
  </cols>
  <sheetData>
    <row r="1" spans="1:18" ht="18" x14ac:dyDescent="0.2">
      <c r="A1" s="10" t="s">
        <v>60</v>
      </c>
    </row>
    <row r="3" spans="1:18" ht="15.75" x14ac:dyDescent="0.2">
      <c r="A3" s="4" t="s">
        <v>66</v>
      </c>
    </row>
    <row r="4" spans="1:18" x14ac:dyDescent="0.2">
      <c r="B4" t="s">
        <v>0</v>
      </c>
      <c r="C4" s="1">
        <v>1000000137</v>
      </c>
      <c r="E4" t="s">
        <v>6</v>
      </c>
      <c r="F4" s="1">
        <v>2000</v>
      </c>
    </row>
    <row r="5" spans="1:18" x14ac:dyDescent="0.2">
      <c r="C5" s="1"/>
      <c r="F5" s="9"/>
    </row>
    <row r="6" spans="1:18" x14ac:dyDescent="0.2">
      <c r="B6" t="s">
        <v>13</v>
      </c>
      <c r="C6" s="1">
        <v>50000068</v>
      </c>
      <c r="K6" s="5" t="s">
        <v>2</v>
      </c>
      <c r="L6" s="3" t="s">
        <v>3</v>
      </c>
    </row>
    <row r="8" spans="1:18" ht="15.75" x14ac:dyDescent="0.2">
      <c r="A8" s="4" t="s">
        <v>67</v>
      </c>
      <c r="I8" s="3" t="s">
        <v>68</v>
      </c>
    </row>
    <row r="10" spans="1:18" x14ac:dyDescent="0.2">
      <c r="A10" s="2" t="s">
        <v>0</v>
      </c>
      <c r="B10" s="2" t="s">
        <v>5</v>
      </c>
      <c r="C10" s="2" t="s">
        <v>7</v>
      </c>
      <c r="D10" s="2" t="s">
        <v>8</v>
      </c>
      <c r="E10" s="2" t="s">
        <v>69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70</v>
      </c>
      <c r="K10" s="2" t="s">
        <v>43</v>
      </c>
      <c r="L10" s="2" t="s">
        <v>15</v>
      </c>
      <c r="M10" s="2" t="s">
        <v>56</v>
      </c>
      <c r="N10" s="2" t="s">
        <v>57</v>
      </c>
      <c r="O10" s="2" t="s">
        <v>16</v>
      </c>
      <c r="P10" s="2" t="s">
        <v>17</v>
      </c>
      <c r="Q10" s="2" t="s">
        <v>18</v>
      </c>
      <c r="R10" s="2" t="s">
        <v>14</v>
      </c>
    </row>
    <row r="11" spans="1:18" x14ac:dyDescent="0.2">
      <c r="A11">
        <v>1000000137</v>
      </c>
      <c r="B11">
        <v>1</v>
      </c>
      <c r="C11">
        <v>1100000021</v>
      </c>
      <c r="D11" t="s">
        <v>19</v>
      </c>
      <c r="E11">
        <v>20</v>
      </c>
      <c r="F11" t="s">
        <v>22</v>
      </c>
      <c r="I11">
        <v>3108</v>
      </c>
      <c r="J11" t="s">
        <v>33</v>
      </c>
      <c r="K11" t="s">
        <v>45</v>
      </c>
      <c r="L11" t="s">
        <v>62</v>
      </c>
      <c r="M11" t="s">
        <v>61</v>
      </c>
      <c r="N11" t="s">
        <v>63</v>
      </c>
      <c r="O11">
        <v>50000068</v>
      </c>
      <c r="P11">
        <v>13612345678</v>
      </c>
      <c r="R11" t="s">
        <v>25</v>
      </c>
    </row>
    <row r="12" spans="1:18" x14ac:dyDescent="0.2">
      <c r="A12">
        <v>1000000137</v>
      </c>
      <c r="B12">
        <v>2</v>
      </c>
      <c r="C12">
        <v>20000002</v>
      </c>
      <c r="D12" t="s">
        <v>20</v>
      </c>
      <c r="E12">
        <v>20</v>
      </c>
      <c r="F12" t="s">
        <v>22</v>
      </c>
      <c r="I12">
        <v>3104</v>
      </c>
      <c r="J12" t="s">
        <v>33</v>
      </c>
      <c r="K12" t="s">
        <v>45</v>
      </c>
      <c r="L12" t="s">
        <v>62</v>
      </c>
      <c r="M12" t="s">
        <v>61</v>
      </c>
      <c r="N12" t="s">
        <v>63</v>
      </c>
      <c r="O12">
        <v>50000068</v>
      </c>
      <c r="P12">
        <v>13612345678</v>
      </c>
      <c r="R12" t="s">
        <v>25</v>
      </c>
    </row>
    <row r="13" spans="1:18" x14ac:dyDescent="0.2">
      <c r="A13">
        <v>1000000137</v>
      </c>
      <c r="B13">
        <v>3</v>
      </c>
      <c r="C13">
        <v>20000003</v>
      </c>
      <c r="D13" t="s">
        <v>21</v>
      </c>
      <c r="E13">
        <v>20</v>
      </c>
      <c r="F13" t="s">
        <v>22</v>
      </c>
      <c r="I13">
        <v>3104</v>
      </c>
      <c r="J13" t="s">
        <v>33</v>
      </c>
      <c r="K13" t="s">
        <v>45</v>
      </c>
      <c r="L13" t="s">
        <v>62</v>
      </c>
      <c r="M13" t="s">
        <v>61</v>
      </c>
      <c r="N13" t="s">
        <v>63</v>
      </c>
      <c r="O13">
        <v>50000068</v>
      </c>
      <c r="P13">
        <v>13612345678</v>
      </c>
      <c r="R13" t="s">
        <v>25</v>
      </c>
    </row>
    <row r="18" spans="1:14" ht="18" x14ac:dyDescent="0.2">
      <c r="A18" s="10" t="s">
        <v>71</v>
      </c>
      <c r="I18" s="3" t="s">
        <v>85</v>
      </c>
      <c r="J18" s="3" t="s">
        <v>86</v>
      </c>
    </row>
    <row r="20" spans="1:14" ht="15.75" x14ac:dyDescent="0.2">
      <c r="A20" s="4" t="s">
        <v>72</v>
      </c>
    </row>
    <row r="21" spans="1:14" x14ac:dyDescent="0.2">
      <c r="A21" s="2" t="s">
        <v>43</v>
      </c>
      <c r="B21" s="2" t="s">
        <v>0</v>
      </c>
      <c r="C21" s="2" t="s">
        <v>5</v>
      </c>
      <c r="D21" s="2" t="s">
        <v>7</v>
      </c>
      <c r="E21" s="2" t="s">
        <v>8</v>
      </c>
      <c r="F21" s="2" t="s">
        <v>69</v>
      </c>
      <c r="G21" s="2" t="s">
        <v>10</v>
      </c>
    </row>
    <row r="22" spans="1:14" x14ac:dyDescent="0.2">
      <c r="A22" t="s">
        <v>45</v>
      </c>
      <c r="B22">
        <v>1000000137</v>
      </c>
      <c r="C22">
        <v>1</v>
      </c>
      <c r="D22">
        <v>1100000021</v>
      </c>
      <c r="E22" t="s">
        <v>19</v>
      </c>
      <c r="F22">
        <v>20</v>
      </c>
      <c r="G22" t="s">
        <v>22</v>
      </c>
    </row>
    <row r="23" spans="1:14" x14ac:dyDescent="0.2">
      <c r="A23" t="s">
        <v>45</v>
      </c>
      <c r="B23">
        <v>1000000137</v>
      </c>
      <c r="C23">
        <v>2</v>
      </c>
      <c r="D23">
        <v>20000002</v>
      </c>
      <c r="E23" t="s">
        <v>20</v>
      </c>
      <c r="F23">
        <v>20</v>
      </c>
      <c r="G23" t="s">
        <v>22</v>
      </c>
    </row>
    <row r="24" spans="1:14" x14ac:dyDescent="0.2">
      <c r="A24" t="s">
        <v>45</v>
      </c>
      <c r="B24">
        <v>1000000137</v>
      </c>
      <c r="C24">
        <v>3</v>
      </c>
      <c r="D24">
        <v>20000003</v>
      </c>
      <c r="E24" t="s">
        <v>21</v>
      </c>
      <c r="F24">
        <v>20</v>
      </c>
      <c r="G24" t="s">
        <v>22</v>
      </c>
    </row>
    <row r="28" spans="1:14" ht="15.75" x14ac:dyDescent="0.2">
      <c r="A28" s="4" t="s">
        <v>73</v>
      </c>
      <c r="I28" s="4" t="s">
        <v>79</v>
      </c>
    </row>
    <row r="29" spans="1:14" x14ac:dyDescent="0.2">
      <c r="A29" s="2" t="s">
        <v>7</v>
      </c>
      <c r="B29" s="2" t="s">
        <v>74</v>
      </c>
      <c r="C29" s="2" t="s">
        <v>78</v>
      </c>
      <c r="D29" s="2" t="s">
        <v>90</v>
      </c>
      <c r="E29" s="2" t="s">
        <v>89</v>
      </c>
      <c r="F29" s="2" t="s">
        <v>88</v>
      </c>
      <c r="I29" s="2" t="s">
        <v>7</v>
      </c>
      <c r="J29" s="2" t="s">
        <v>74</v>
      </c>
      <c r="K29" s="2" t="s">
        <v>80</v>
      </c>
      <c r="L29" s="2" t="s">
        <v>81</v>
      </c>
      <c r="M29" s="2" t="s">
        <v>91</v>
      </c>
      <c r="N29" s="2" t="s">
        <v>82</v>
      </c>
    </row>
    <row r="30" spans="1:14" x14ac:dyDescent="0.2">
      <c r="A30">
        <v>1100000021</v>
      </c>
      <c r="B30" t="s">
        <v>75</v>
      </c>
      <c r="C30">
        <v>30</v>
      </c>
      <c r="F30">
        <v>10</v>
      </c>
      <c r="I30">
        <v>1100000021</v>
      </c>
      <c r="J30" t="s">
        <v>75</v>
      </c>
      <c r="K30">
        <v>20</v>
      </c>
      <c r="L30" s="1">
        <v>20</v>
      </c>
      <c r="M30" s="21">
        <f>SUM(D30,E30,F30)</f>
        <v>10</v>
      </c>
      <c r="N30" t="s">
        <v>83</v>
      </c>
    </row>
    <row r="31" spans="1:14" x14ac:dyDescent="0.2">
      <c r="A31">
        <v>20000002</v>
      </c>
      <c r="B31" t="s">
        <v>76</v>
      </c>
      <c r="C31">
        <v>40</v>
      </c>
      <c r="F31">
        <v>8</v>
      </c>
      <c r="I31">
        <v>20000002</v>
      </c>
      <c r="J31" t="s">
        <v>76</v>
      </c>
      <c r="K31">
        <v>20</v>
      </c>
      <c r="L31" s="1">
        <v>20</v>
      </c>
      <c r="M31" s="21">
        <f t="shared" ref="M31:M32" si="0">SUM(D31,E31,F31)</f>
        <v>8</v>
      </c>
      <c r="N31" t="s">
        <v>83</v>
      </c>
    </row>
    <row r="32" spans="1:14" x14ac:dyDescent="0.2">
      <c r="A32">
        <v>20000003</v>
      </c>
      <c r="B32" t="s">
        <v>77</v>
      </c>
      <c r="C32">
        <v>50</v>
      </c>
      <c r="D32">
        <v>12</v>
      </c>
      <c r="E32">
        <v>34</v>
      </c>
      <c r="F32">
        <v>5</v>
      </c>
      <c r="I32">
        <v>20000003</v>
      </c>
      <c r="J32" t="s">
        <v>77</v>
      </c>
      <c r="K32">
        <v>20</v>
      </c>
      <c r="L32" s="1">
        <v>0</v>
      </c>
      <c r="M32" s="21">
        <f t="shared" si="0"/>
        <v>51</v>
      </c>
      <c r="N32" t="s">
        <v>84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4" name="Check Box 10">
              <controlPr defaultSize="0" autoFill="0" autoLine="0" autoPict="0">
                <anchor moveWithCells="1">
                  <from>
                    <xdr:col>0</xdr:col>
                    <xdr:colOff>171450</xdr:colOff>
                    <xdr:row>10</xdr:row>
                    <xdr:rowOff>38100</xdr:rowOff>
                  </from>
                  <to>
                    <xdr:col>0</xdr:col>
                    <xdr:colOff>571500</xdr:colOff>
                    <xdr:row>12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领料单</vt:lpstr>
      <vt:lpstr>配送需求试算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曹伟</dc:creator>
  <cp:lastModifiedBy>曹伟</cp:lastModifiedBy>
  <dcterms:created xsi:type="dcterms:W3CDTF">2026-05-13T01:53:00Z</dcterms:created>
  <dcterms:modified xsi:type="dcterms:W3CDTF">2026-05-13T22:33:13Z</dcterms:modified>
</cp:coreProperties>
</file>